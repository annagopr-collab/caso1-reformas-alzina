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Registro" sheetId="2" state="visible" r:id="rId2"/>
  </sheets>
  <definedNames>
    <definedName name="_xlnm._FilterDatabase" localSheetId="1" hidden="1">'Registro'!$A$1:$F$61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ont>
        <name val="Arial"/>
        <charset val="1"/>
        <family val="0"/>
        <color rgb="FF375623"/>
      </font>
      <fill>
        <patternFill>
          <bgColor rgb="FFE2EFDA"/>
        </patternFill>
      </fill>
    </dxf>
    <dxf>
      <font>
        <name val="Arial"/>
        <charset val="1"/>
        <family val="0"/>
        <color rgb="FF843C0C"/>
      </font>
      <fill>
        <patternFill>
          <bgColor rgb="FFFCE4D6"/>
        </patternFill>
      </fill>
    </dxf>
    <dxf>
      <font>
        <name val="Arial"/>
        <charset val="1"/>
        <family val="0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5" customWidth="1" style="9" min="1" max="1"/>
    <col width="10" customWidth="1" style="9" min="2" max="2"/>
  </cols>
  <sheetData>
    <row r="1" ht="17.25" customHeight="1" s="10">
      <c r="A1" s="11" t="inlineStr">
        <is>
          <t>Registro de limpieza · Caso 1 Reformas Alzina</t>
        </is>
      </c>
    </row>
    <row r="2" ht="15" customHeight="1" s="10">
      <c r="A2" s="12" t="n"/>
    </row>
    <row r="3" ht="15" customHeight="1" s="10">
      <c r="A3" s="12" t="inlineStr">
        <is>
          <t>Qué es: la lista de todos los problemas encontrados en los datos y qué se decidió hacer con cada uno.</t>
        </is>
      </c>
    </row>
    <row r="4" ht="15" customHeight="1" s="10">
      <c r="A4" s="12" t="n"/>
    </row>
    <row r="5" ht="15" customHeight="1" s="10">
      <c r="A5" s="13" t="inlineStr">
        <is>
          <t>Cómo añadir un problema nuevo (hoja Registro):</t>
        </is>
      </c>
    </row>
    <row r="6" ht="15" customHeight="1" s="10">
      <c r="A6" s="12" t="inlineStr">
        <is>
          <t>1. Escribe en la primera fila libre: Tabla, Problema y, si lo sabes, Filas afectadas. El ID se pone solo.</t>
        </is>
      </c>
    </row>
    <row r="7" ht="15" customHeight="1" s="10">
      <c r="A7" s="12" t="inlineStr">
        <is>
          <t>2. En Estado elige Pendiente, En curso o Resuelto en el desplegable.</t>
        </is>
      </c>
    </row>
    <row r="8" ht="15" customHeight="1" s="10">
      <c r="A8" s="12" t="inlineStr">
        <is>
          <t>3. Cuando lo arregles en SQL, escribe en Decisión qué has hecho y márcalo como Resuelto.</t>
        </is>
      </c>
    </row>
    <row r="9" ht="15" customHeight="1" s="10">
      <c r="A9" s="12" t="n"/>
    </row>
    <row r="10" ht="15" customHeight="1" s="10">
      <c r="A10" s="12" t="inlineStr">
        <is>
          <t>Las filas 2 y 3 de la hoja Registro (ID 1 y 2) son ejemplos ya resueltos: copia ese formato.</t>
        </is>
      </c>
    </row>
    <row r="11" ht="15" customHeight="1" s="10">
      <c r="A11" s="12" t="n"/>
    </row>
    <row r="12" ht="15" customHeight="1" s="10">
      <c r="A12" s="13" t="inlineStr">
        <is>
          <t>Resumen</t>
        </is>
      </c>
    </row>
    <row r="13" ht="15" customHeight="1" s="10">
      <c r="A13" s="12" t="inlineStr">
        <is>
          <t>Problemas registrados</t>
        </is>
      </c>
      <c r="B13" s="13">
        <f>COUNTA(Registro!C2:C61)</f>
        <v/>
      </c>
    </row>
    <row r="14" ht="15" customHeight="1" s="10">
      <c r="A14" s="12" t="inlineStr">
        <is>
          <t>Resueltos</t>
        </is>
      </c>
      <c r="B14" s="13">
        <f>COUNTIF(Registro!F2:F61,"Resuelto")</f>
        <v/>
      </c>
    </row>
    <row r="15" ht="15" customHeight="1" s="10">
      <c r="A15" s="12" t="inlineStr">
        <is>
          <t>En curso</t>
        </is>
      </c>
      <c r="B15" s="13">
        <f>COUNTIF(Registro!F2:F61,"En curso")</f>
        <v/>
      </c>
    </row>
    <row r="16" ht="15" customHeight="1" s="10">
      <c r="A16" s="12" t="inlineStr">
        <is>
          <t>Pendientes</t>
        </is>
      </c>
      <c r="B16" s="13">
        <f>COUNTIF(Registro!F2:F61,"Pendiente")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30" customWidth="1" style="9" min="2" max="2"/>
    <col width="62" customWidth="1" style="9" min="3" max="3"/>
    <col width="15" customWidth="1" style="9" min="4" max="4"/>
    <col width="52" customWidth="1" style="9" min="5" max="5"/>
    <col width="13" customWidth="1" style="9" min="6" max="6"/>
  </cols>
  <sheetData>
    <row r="1" ht="21.75" customHeight="1" s="10">
      <c r="A1" s="14" t="inlineStr">
        <is>
          <t>ID</t>
        </is>
      </c>
      <c r="B1" s="15" t="inlineStr">
        <is>
          <t>Tabla</t>
        </is>
      </c>
      <c r="C1" s="15" t="inlineStr">
        <is>
          <t>Problema</t>
        </is>
      </c>
      <c r="D1" s="14" t="inlineStr">
        <is>
          <t>Filas afectadas</t>
        </is>
      </c>
      <c r="E1" s="15" t="inlineStr">
        <is>
          <t>Decisión</t>
        </is>
      </c>
      <c r="F1" s="14" t="inlineStr">
        <is>
          <t>Estado</t>
        </is>
      </c>
    </row>
    <row r="2" ht="23.25" customHeight="1" s="10">
      <c r="A2" s="16" t="n">
        <v>1</v>
      </c>
      <c r="B2" s="17" t="inlineStr">
        <is>
          <t>bruto_facturas_antiguas</t>
        </is>
      </c>
      <c r="C2" s="17" t="inlineStr">
        <is>
          <t>El CSV está en codificación Windows (cp1252), no en UTF-8: las tildes y la ñ salen mal si se lee con la codificación por defecto</t>
        </is>
      </c>
      <c r="D2" s="16" t="inlineStr">
        <is>
          <t>Todas</t>
        </is>
      </c>
      <c r="E2" s="17" t="inlineStr">
        <is>
          <t>Leerlo con encoding="cp1252" al cargarlo en SQLite</t>
        </is>
      </c>
      <c r="F2" s="16" t="inlineStr">
        <is>
          <t>Resuelto</t>
        </is>
      </c>
    </row>
    <row r="3" ht="15" customHeight="1" s="10">
      <c r="A3" s="16" t="n">
        <v>2</v>
      </c>
      <c r="B3" s="17" t="inlineStr">
        <is>
          <t>bruto_banco</t>
        </is>
      </c>
      <c r="C3" s="17" t="inlineStr">
        <is>
          <t>La primera columna lleva un carácter invisible (BOM) delante del nombre</t>
        </is>
      </c>
      <c r="D3" s="16" t="inlineStr">
        <is>
          <t>Todas</t>
        </is>
      </c>
      <c r="E3" s="17" t="inlineStr">
        <is>
          <t>Leerlo con encoding="utf-8-sig", que elimina ese carácter</t>
        </is>
      </c>
      <c r="F3" s="16" t="inlineStr">
        <is>
          <t>Resuelto</t>
        </is>
      </c>
    </row>
    <row r="4" ht="23.25" customHeight="1" s="10">
      <c r="A4" s="16" t="n">
        <v>3</v>
      </c>
      <c r="B4" s="17" t="inlineStr">
        <is>
          <t>bruto_facturas_antiguas</t>
        </is>
      </c>
      <c r="C4" s="17" t="inlineStr">
        <is>
          <t>Los importes vienen como texto, con punto de miles y coma decimal ("6.900,00")</t>
        </is>
      </c>
      <c r="D4" s="16" t="inlineStr">
        <is>
          <t>159 facturas (base, cuota IVA y total)</t>
        </is>
      </c>
      <c r="E4" s="17" t="inlineStr">
        <is>
          <t>Quitar el punto de miles, cambiar la coma decimal por punto y convertir a número</t>
        </is>
      </c>
      <c r="F4" s="16" t="inlineStr">
        <is>
          <t>Resuelto</t>
        </is>
      </c>
    </row>
    <row r="5" ht="34.5" customHeight="1" s="10">
      <c r="A5" s="16" t="n">
        <v>4</v>
      </c>
      <c r="B5" s="17" t="inlineStr">
        <is>
          <t>bruto_facturas_antiguas / bruto_facturas_nuevas</t>
        </is>
      </c>
      <c r="C5" s="17" t="inlineStr">
        <is>
          <t>El mismo cliente aparece escrito de varias formas ("Pilar López Gil" y "LÓPEZ GIL, Pilar"; "Habitat Mar Inversiones S.L." y "HABITAT MAR INVERSIONES, S.L.")</t>
        </is>
      </c>
      <c r="D5" s="16" t="inlineStr">
        <is>
          <t>198 nombres distintos para 166 clientes reales</t>
        </is>
      </c>
      <c r="E5" s="17" t="inlineStr">
        <is>
          <t>Unificados en Python: nombre normalizado ("APELLIDOS, Nombre" a "Nombre Apellidos"), cliente identificado por NIF y nombre oficial = el más repetido que no está en mayúsculas. Tabla limpio_clientes y columna cliente_id</t>
        </is>
      </c>
      <c r="F5" s="16" t="inlineStr">
        <is>
          <t>Resuelto</t>
        </is>
      </c>
    </row>
    <row r="6" ht="23.25" customHeight="1" s="10">
      <c r="A6" s="16" t="n">
        <v>5</v>
      </c>
      <c r="B6" s="17" t="inlineStr">
        <is>
          <t>bruto_facturas_nuevas</t>
        </is>
      </c>
      <c r="C6" s="17" t="inlineStr">
        <is>
          <t>Incluye facturas con numeración y fechas del programa antiguo (por ejemplo 2024/0125, de diciembre de 2024)</t>
        </is>
      </c>
      <c r="D6" s="16" t="inlineStr">
        <is>
          <t>7 (2024/0125, 2025/0010, 2025/0021, 2025/0025, 2025/0032, 2025/0033, 2025/0034)</t>
        </is>
      </c>
      <c r="E6" s="17" t="inlineStr">
        <is>
          <t>Son facturas pendientes que se pasaron al programa nuevo. Al juntar los dos ficheros, contarlas una sola vez (quedarse con la versión del fichero nuevo)</t>
        </is>
      </c>
      <c r="F6" s="16" t="inlineStr">
        <is>
          <t>Resuelto</t>
        </is>
      </c>
    </row>
    <row r="7" ht="23.25" customHeight="1" s="10">
      <c r="A7" s="16" t="n">
        <v>6</v>
      </c>
      <c r="B7" s="17" t="inlineStr">
        <is>
          <t>bruto_facturas_antiguas / bruto_facturas_nuevas</t>
        </is>
      </c>
      <c r="C7" s="17" t="inlineStr">
        <is>
          <t>Cada programa usa un formato distinto: nombres de columna, fechas (dd/mm/aaaa o aaaa-mm-dd) e IVA ("21" o "21%")</t>
        </is>
      </c>
      <c r="D7" s="16" t="inlineStr">
        <is>
          <t>350 (159 + 191)</t>
        </is>
      </c>
      <c r="E7" s="17" t="inlineStr">
        <is>
          <t>Poner los mismos nombres de columna, fechas en aaaa-mm-dd e IVA como número (10 o 21) antes de unir los dos ficheros</t>
        </is>
      </c>
      <c r="F7" s="16" t="inlineStr">
        <is>
          <t>Resuelto</t>
        </is>
      </c>
    </row>
    <row r="8" ht="23.25" customHeight="1" s="10">
      <c r="A8" s="16" t="n">
        <v>7</v>
      </c>
      <c r="B8" s="17" t="inlineStr">
        <is>
          <t>bruto_obras</t>
        </is>
      </c>
      <c r="C8" s="17" t="inlineStr">
        <is>
          <t>El tipo de trabajo está escrito de varias formas ("Baño", "BAÑO completo", "Reforma cocina")</t>
        </is>
      </c>
      <c r="D8" s="16" t="inlineStr">
        <is>
          <t>224 obras (20 formas para 6 tipos)</t>
        </is>
      </c>
      <c r="E8" s="17" t="inlineStr">
        <is>
          <t>Unificar en 6 tipos: Mantenimiento (incluye Reparación), Pintura, Baño, Cocina, Reforma integral y Local</t>
        </is>
      </c>
      <c r="F8" s="16" t="inlineStr">
        <is>
          <t>Resuelto</t>
        </is>
      </c>
    </row>
    <row r="9" ht="23.25" customHeight="1" s="10">
      <c r="A9" s="16" t="n">
        <v>8</v>
      </c>
      <c r="B9" s="17" t="inlineStr">
        <is>
          <t>bruto_obras</t>
        </is>
      </c>
      <c r="C9" s="17" t="inlineStr">
        <is>
          <t>El presupuesto está a veces como texto con símbolo de euro ("17.250,00 €")</t>
        </is>
      </c>
      <c r="D9" s="16" t="inlineStr">
        <is>
          <t>88 de 224</t>
        </is>
      </c>
      <c r="E9" s="17" t="inlineStr">
        <is>
          <t>Quitar el símbolo € y el punto de miles, cambiar la coma decimal por punto y convertir a número</t>
        </is>
      </c>
      <c r="F9" s="16" t="inlineStr">
        <is>
          <t>Resuelto</t>
        </is>
      </c>
    </row>
    <row r="10" ht="15" customHeight="1" s="10">
      <c r="A10" s="16" t="n">
        <v>9</v>
      </c>
      <c r="B10" s="17" t="inlineStr">
        <is>
          <t>bruto_obras</t>
        </is>
      </c>
      <c r="C10" s="17" t="inlineStr">
        <is>
          <t>Hay obras sin fecha de fin</t>
        </is>
      </c>
      <c r="D10" s="16" t="inlineStr">
        <is>
          <t>7: 3 en curso (correcto) y 4 terminadas sin fecha (OB-24-001, OB-24-024, OB-24-080, OB-25-001)</t>
        </is>
      </c>
      <c r="E10" s="17" t="inlineStr">
        <is>
          <t>Las 3 en curso se dejan sin fecha. A las 4 terminadas se les pondrá como fecha de fin la de su factura final</t>
        </is>
      </c>
      <c r="F10" s="16" t="inlineStr">
        <is>
          <t>Resuelto</t>
        </is>
      </c>
    </row>
    <row r="11" ht="15" customHeight="1" s="10">
      <c r="A11" s="16" t="n">
        <v>10</v>
      </c>
      <c r="B11" s="17" t="inlineStr">
        <is>
          <t>bruto_gastos</t>
        </is>
      </c>
      <c r="C11" s="17" t="inlineStr">
        <is>
          <t>Hay gastos de materiales sin obra asignada</t>
        </is>
      </c>
      <c r="D11" s="16" t="inlineStr">
        <is>
          <t>307 de 845 gastos de materiales (tras quitar duplicados)</t>
        </is>
      </c>
      <c r="E11" s="17" t="inlineStr">
        <is>
          <t>Se reparten entre las obras activas en la fecha del gasto con el mismo tipo de trabajo que suele suministrar ese proveedor, en proporción a su presupuesto (05_analisis, apartado 1). No cambia el margen total ni las conclusiones por tipo de trabajo</t>
        </is>
      </c>
      <c r="F11" s="16" t="inlineStr">
        <is>
          <t>Resuelto</t>
        </is>
      </c>
    </row>
    <row r="12" ht="23.25" customHeight="1" s="10">
      <c r="A12" s="16" t="n">
        <v>11</v>
      </c>
      <c r="B12" s="17" t="inlineStr">
        <is>
          <t>bruto_gastos</t>
        </is>
      </c>
      <c r="C12" s="17" t="inlineStr">
        <is>
          <t>Un mismo proveedor aparece escrito de varias formas ("Electro Material Penedès S.L." y "ELECTRO MATERIAL PENEDES SL")</t>
        </is>
      </c>
      <c r="D12" s="16" t="inlineStr">
        <is>
          <t>6 proveedores</t>
        </is>
      </c>
      <c r="E12" s="17" t="inlineStr">
        <is>
          <t>Unificar los nombres usando el NIF del proveedor</t>
        </is>
      </c>
      <c r="F12" s="16" t="inlineStr">
        <is>
          <t>Resuelto</t>
        </is>
      </c>
    </row>
    <row r="13" ht="15" customHeight="1" s="10">
      <c r="A13" s="16" t="n">
        <v>12</v>
      </c>
      <c r="B13" s="17" t="inlineStr">
        <is>
          <t>bruto_banco</t>
        </is>
      </c>
      <c r="C13" s="17" t="inlineStr">
        <is>
          <t>Está ordenado del más reciente al más antiguo</t>
        </is>
      </c>
      <c r="D13" s="16" t="inlineStr">
        <is>
          <t>1.035 (todas)</t>
        </is>
      </c>
      <c r="E13" s="17" t="inlineStr">
        <is>
          <t>Usar el número de fila original para ordenar (vista banco)</t>
        </is>
      </c>
      <c r="F13" s="16" t="inlineStr">
        <is>
          <t>Resuelto</t>
        </is>
      </c>
    </row>
    <row r="14" ht="15" customHeight="1" s="10">
      <c r="A14" s="16" t="n">
        <v>13</v>
      </c>
      <c r="B14" s="17" t="inlineStr">
        <is>
          <t>bruto_banco</t>
        </is>
      </c>
      <c r="C14" s="17" t="inlineStr">
        <is>
          <t>Los importes y el saldo vienen como texto con coma decimal</t>
        </is>
      </c>
      <c r="D14" s="16" t="inlineStr">
        <is>
          <t>1.035 (todas)</t>
        </is>
      </c>
      <c r="E14" s="17" t="inlineStr">
        <is>
          <t>Convertirlos a número en la vista banco</t>
        </is>
      </c>
      <c r="F14" s="16" t="inlineStr">
        <is>
          <t>Resuelto</t>
        </is>
      </c>
    </row>
    <row r="15" ht="15" customHeight="1" s="10">
      <c r="A15" s="16" t="n">
        <v>14</v>
      </c>
      <c r="B15" s="17" t="inlineStr">
        <is>
          <t>bruto_partes</t>
        </is>
      </c>
      <c r="C15" s="17" t="inlineStr">
        <is>
          <t>Los nombres de los operarios no siempre están escritos igual</t>
        </is>
      </c>
      <c r="D15" s="16" t="inlineStr">
        <is>
          <t>4 operarios escritos de 10 formas</t>
        </is>
      </c>
      <c r="E15" s="17" t="inlineStr">
        <is>
          <t>Unificar al nombre completo que aparece en las nóminas</t>
        </is>
      </c>
      <c r="F15" s="16" t="inlineStr">
        <is>
          <t>Resuelto</t>
        </is>
      </c>
    </row>
    <row r="16" ht="15" customHeight="1" s="10">
      <c r="A16" s="16">
        <f>IF(C16="","",ROW()-1)</f>
        <v/>
      </c>
      <c r="B16" s="17" t="inlineStr">
        <is>
          <t>bruto_facturas_antiguas</t>
        </is>
      </c>
      <c r="C16" s="17" t="inlineStr">
        <is>
          <t>Facturas sin NIF del cliente</t>
        </is>
      </c>
      <c r="D16" s="16" t="inlineStr">
        <is>
          <t>23 facturas sin NIF; 2 siguen sin NIF después de unificar</t>
        </is>
      </c>
      <c r="E16" s="17" t="inlineStr">
        <is>
          <t>Si el mismo nombre aparece en otra factura con NIF, hereda ese NIF. Los 2 clientes que nunca tienen NIF se identifican por su nombre normalizado</t>
        </is>
      </c>
      <c r="F16" s="16" t="inlineStr">
        <is>
          <t>Resuelto</t>
        </is>
      </c>
    </row>
    <row r="17" ht="15" customHeight="1" s="10">
      <c r="A17" s="16">
        <f>IF(C17="","",ROW()-1)</f>
        <v/>
      </c>
      <c r="B17" s="17" t="inlineStr">
        <is>
          <t>bruto_facturas_nuevas</t>
        </is>
      </c>
      <c r="C17" s="17" t="inlineStr">
        <is>
          <t>La columna Estado se rellena a mano y puede no estar actualizada</t>
        </is>
      </c>
      <c r="D17" s="16" t="inlineStr">
        <is>
          <t>13 de 191: 4 "Cobrada" sin cobrar (45.738 €) y 9 "Pendiente" o "Vencida" ya cobradas</t>
        </is>
      </c>
      <c r="E17" s="17" t="inlineStr">
        <is>
          <t>No se usa. El estado real de cada factura sale de la conciliación con el banco (vista estado_facturas)</t>
        </is>
      </c>
      <c r="F17" s="16" t="inlineStr">
        <is>
          <t>Resuelto</t>
        </is>
      </c>
    </row>
    <row r="18" ht="15" customHeight="1" s="10">
      <c r="A18" s="16">
        <f>IF(C18="","",ROW()-1)</f>
        <v/>
      </c>
      <c r="B18" s="17" t="inlineStr">
        <is>
          <t>bruto_facturas_nuevas</t>
        </is>
      </c>
      <c r="C18" s="17" t="inlineStr">
        <is>
          <t>4 facturas con estado "Emitida", que no son ni cobradas ni pendientes</t>
        </is>
      </c>
      <c r="D18" s="16" t="inlineStr">
        <is>
          <t>4</t>
        </is>
      </c>
      <c r="E18" s="17" t="inlineStr">
        <is>
          <t>Son facturas rectificativas (abonos o descuentos): importe negativo y rectifica_a indica la factura que corrigen. Se mantienen, restando de lo facturado</t>
        </is>
      </c>
      <c r="F18" s="16" t="inlineStr">
        <is>
          <t>Resuelto</t>
        </is>
      </c>
    </row>
    <row r="19" ht="15" customHeight="1" s="10">
      <c r="A19" s="16">
        <f>IF(C19="","",ROW()-1)</f>
        <v/>
      </c>
      <c r="B19" s="17" t="inlineStr">
        <is>
          <t>bruto_facturas_nuevas</t>
        </is>
      </c>
      <c r="C19" s="17" t="inlineStr">
        <is>
          <t>Las fechas incluyen la hora (00:00:00)</t>
        </is>
      </c>
      <c r="D19" s="16" t="inlineStr">
        <is>
          <t>191</t>
        </is>
      </c>
      <c r="E19" s="17" t="inlineStr">
        <is>
          <t>Quedarse solo con la fecha en formato aaaa-mm-dd</t>
        </is>
      </c>
      <c r="F19" s="16" t="inlineStr">
        <is>
          <t>Resuelto</t>
        </is>
      </c>
    </row>
    <row r="20" ht="15" customHeight="1" s="10">
      <c r="A20" s="16">
        <f>IF(C20="","",ROW()-1)</f>
        <v/>
      </c>
      <c r="B20" s="17" t="inlineStr">
        <is>
          <t>bruto_obras</t>
        </is>
      </c>
      <c r="C20" s="17" t="inlineStr">
        <is>
          <t>Obra duplicada: OB-25-055 aparece dos veces con los mismos datos</t>
        </is>
      </c>
      <c r="D20" s="16" t="inlineStr">
        <is>
          <t>1</t>
        </is>
      </c>
      <c r="E20" s="17" t="inlineStr">
        <is>
          <t>Eliminar la fila repetida</t>
        </is>
      </c>
      <c r="F20" s="16" t="inlineStr">
        <is>
          <t>Resuelto</t>
        </is>
      </c>
    </row>
    <row r="21" ht="15" customHeight="1" s="10">
      <c r="A21" s="16">
        <f>IF(C21="","",ROW()-1)</f>
        <v/>
      </c>
      <c r="B21" s="17" t="inlineStr">
        <is>
          <t>bruto_obras</t>
        </is>
      </c>
      <c r="C21" s="17" t="inlineStr">
        <is>
          <t>Fechas de inicio en dos formatos (dd/mm/aaaa y aaaa-mm-dd)</t>
        </is>
      </c>
      <c r="D21" s="16" t="inlineStr">
        <is>
          <t>9</t>
        </is>
      </c>
      <c r="E21" s="17" t="inlineStr">
        <is>
          <t>Pasarlas todas a aaaa-mm-dd</t>
        </is>
      </c>
      <c r="F21" s="16" t="inlineStr">
        <is>
          <t>Resuelto</t>
        </is>
      </c>
    </row>
    <row r="22" ht="15" customHeight="1" s="10">
      <c r="A22" s="16">
        <f>IF(C22="","",ROW()-1)</f>
        <v/>
      </c>
      <c r="B22" s="17" t="inlineStr">
        <is>
          <t>bruto_gastos</t>
        </is>
      </c>
      <c r="C22" s="17" t="inlineStr">
        <is>
          <t>Facturas de proveedor registradas dos veces (AM26-00119, EM26-00622, IV25-00071, JF25-00140, PL26-00347)</t>
        </is>
      </c>
      <c r="D22" s="16" t="inlineStr">
        <is>
          <t>5 (6.119,74 € de gastos de más)</t>
        </is>
      </c>
      <c r="E22" s="17" t="inlineStr">
        <is>
          <t>Eliminar las repetidas. Identificar cada factura por su número y el NIF del proveedor a la vez</t>
        </is>
      </c>
      <c r="F22" s="16" t="inlineStr">
        <is>
          <t>Resuelto</t>
        </is>
      </c>
    </row>
    <row r="23" ht="15" customHeight="1" s="10">
      <c r="A23" s="16">
        <f>IF(C23="","",ROW()-1)</f>
        <v/>
      </c>
      <c r="B23" s="17" t="inlineStr">
        <is>
          <t>bruto_gastos</t>
        </is>
      </c>
      <c r="C23" s="17" t="inlineStr">
        <is>
          <t>Categorías escritas de 16 formas para 11 categorías reales</t>
        </is>
      </c>
      <c r="D23" s="16" t="inlineStr">
        <is>
          <t>16 nombres</t>
        </is>
      </c>
      <c r="E23" s="17" t="inlineStr">
        <is>
          <t>Unificar Materiales (Compras material, Material, Materiales obra) y Subcontratas (Subcontrata, Trabajos otras empresas)</t>
        </is>
      </c>
      <c r="F23" s="16" t="inlineStr">
        <is>
          <t>Resuelto</t>
        </is>
      </c>
    </row>
    <row r="24" ht="15" customHeight="1" s="10">
      <c r="A24" s="16">
        <f>IF(C24="","",ROW()-1)</f>
        <v/>
      </c>
      <c r="B24" s="17" t="inlineStr">
        <is>
          <t>bruto_gastos</t>
        </is>
      </c>
      <c r="C24" s="17" t="inlineStr">
        <is>
          <t>Códigos de obra mal escritos (sin el formato OB-AA-NNN)</t>
        </is>
      </c>
      <c r="D24" s="16" t="inlineStr">
        <is>
          <t>25</t>
        </is>
      </c>
      <c r="E24" s="17" t="inlineStr">
        <is>
          <t>Corregirlos al formato OB-AA-NNN</t>
        </is>
      </c>
      <c r="F24" s="16" t="inlineStr">
        <is>
          <t>Resuelto</t>
        </is>
      </c>
    </row>
    <row r="25" ht="15" customHeight="1" s="10">
      <c r="A25" s="16">
        <f>IF(C25="","",ROW()-1)</f>
        <v/>
      </c>
      <c r="B25" s="17" t="inlineStr">
        <is>
          <t>bruto_gastos</t>
        </is>
      </c>
      <c r="C25" s="17" t="inlineStr">
        <is>
          <t>Hallazgo de negocio: se sigue pagando FacturaFàcil desde mayo de 2025, aunque ya se usa GestPro Cloud</t>
        </is>
      </c>
      <c r="D25" s="16" t="inlineStr">
        <is>
          <t>17 meses (unos 566 €/año)</t>
        </is>
      </c>
      <c r="E25" s="17" t="inlineStr">
        <is>
          <t>No es un error de datos: no se limpia. Va al informe como recomendación (ahorro de unos 566 €/año), pendiente de que Jordi confirme que no lo usa</t>
        </is>
      </c>
      <c r="F25" s="16" t="inlineStr">
        <is>
          <t>Resuelto</t>
        </is>
      </c>
    </row>
    <row r="26" ht="15" customHeight="1" s="10">
      <c r="A26" s="16">
        <f>IF(C26="","",ROW()-1)</f>
        <v/>
      </c>
      <c r="B26" s="17" t="inlineStr">
        <is>
          <t>bruto_partes</t>
        </is>
      </c>
      <c r="C26" s="17" t="inlineStr">
        <is>
          <t>Horas imposibles: 85 y 80 horas en una semana (Marc Vidal)</t>
        </is>
      </c>
      <c r="D26" s="16" t="inlineStr">
        <is>
          <t>2</t>
        </is>
      </c>
      <c r="E26" s="17" t="inlineStr">
        <is>
          <t>Dividir entre 10 (coma perdida al teclear: 8,5 y 8 horas)</t>
        </is>
      </c>
      <c r="F26" s="16" t="inlineStr">
        <is>
          <t>Resuelto</t>
        </is>
      </c>
    </row>
    <row r="27" ht="15" customHeight="1" s="10">
      <c r="A27" s="16">
        <f>IF(C27="","",ROW()-1)</f>
        <v/>
      </c>
      <c r="B27" s="17" t="inlineStr">
        <is>
          <t>bruto_partes</t>
        </is>
      </c>
      <c r="C27" s="17" t="inlineStr">
        <is>
          <t>Partes con 0 horas</t>
        </is>
      </c>
      <c r="D27" s="16" t="inlineStr">
        <is>
          <t>6</t>
        </is>
      </c>
      <c r="E27" s="17" t="inlineStr">
        <is>
          <t>Eliminarlos</t>
        </is>
      </c>
      <c r="F27" s="16" t="inlineStr">
        <is>
          <t>Resuelto</t>
        </is>
      </c>
    </row>
    <row r="28" ht="15" customHeight="1" s="10">
      <c r="A28" s="16">
        <f>IF(C28="","",ROW()-1)</f>
        <v/>
      </c>
      <c r="B28" s="17" t="inlineStr">
        <is>
          <t>bruto_partes</t>
        </is>
      </c>
      <c r="C28" s="17" t="inlineStr">
        <is>
          <t>Códigos de obra mal escritos que no existen en obras (sin ceros, como OB-24-15, o sin el primer guion, como OB24-005)</t>
        </is>
      </c>
      <c r="D28" s="16" t="inlineStr">
        <is>
          <t>73 partes (59 códigos)</t>
        </is>
      </c>
      <c r="E28" s="17" t="inlineStr">
        <is>
          <t>Corregirlos al formato OB-AA-NNN</t>
        </is>
      </c>
      <c r="F28" s="16" t="inlineStr">
        <is>
          <t>Resuelto</t>
        </is>
      </c>
    </row>
    <row r="29" ht="15" customHeight="1" s="10">
      <c r="A29" s="16">
        <f>IF(C29="","",ROW()-1)</f>
        <v/>
      </c>
      <c r="B29" s="17" t="inlineStr">
        <is>
          <t>bruto_banco</t>
        </is>
      </c>
      <c r="C29" s="17" t="inlineStr">
        <is>
          <t>Fechas en formato dd/mm/aaaa</t>
        </is>
      </c>
      <c r="D29" s="16" t="inlineStr">
        <is>
          <t>1.035 (todas)</t>
        </is>
      </c>
      <c r="E29" s="17" t="inlineStr">
        <is>
          <t>Convertirlas a aaaa-mm-dd en la vista banco</t>
        </is>
      </c>
      <c r="F29" s="16" t="inlineStr">
        <is>
          <t>Resuelto</t>
        </is>
      </c>
    </row>
    <row r="30" ht="15" customHeight="1" s="10">
      <c r="A30" s="16">
        <f>IF(C30="","",ROW()-1)</f>
        <v/>
      </c>
      <c r="B30" s="17" t="inlineStr">
        <is>
          <t>bruto_banco</t>
        </is>
      </c>
      <c r="C30" s="17" t="inlineStr">
        <is>
          <t>Cobros que no indican a qué factura corresponden</t>
        </is>
      </c>
      <c r="D30" s="16" t="inlineStr">
        <is>
          <t>158 de 329 (754.000 €)</t>
        </is>
      </c>
      <c r="E30" s="17" t="inlineStr">
        <is>
          <t>Conciliación bancaria: primero los cobros que citan factura; después, por importe exacto, por suma de varias facturas o a las más antiguas del cliente. El 100% del dinero cobrado encuentra su factura</t>
        </is>
      </c>
      <c r="F30" s="16" t="inlineStr">
        <is>
          <t>Resuelto</t>
        </is>
      </c>
    </row>
    <row r="31" ht="15" customHeight="1" s="10">
      <c r="A31" s="16">
        <f>IF(C31="","",ROW()-1)</f>
        <v/>
      </c>
      <c r="B31" s="17" t="inlineStr">
        <is>
          <t>bruto_facturas_antiguas</t>
        </is>
      </c>
      <c r="C31" s="17" t="inlineStr">
        <is>
          <t>Total redondeado a mano: el total no es igual a base + IVA (2024/0039, 2024/0117, 2025/0013)</t>
        </is>
      </c>
      <c r="D31" s="16" t="inlineStr">
        <is>
          <t>3 (entre 14 € y 24 € menos)</t>
        </is>
      </c>
      <c r="E31" s="17" t="inlineStr">
        <is>
          <t>El banco demuestra que los clientes pagaron base + IVA completo: el total redondeado era un error al apuntarlo. Se corrige el total a base + IVA</t>
        </is>
      </c>
      <c r="F31" s="16" t="inlineStr">
        <is>
          <t>Resuelto</t>
        </is>
      </c>
    </row>
    <row r="32" ht="15" customHeight="1" s="10">
      <c r="A32" s="16">
        <f>IF(C32="","",ROW()-1)</f>
        <v/>
      </c>
      <c r="B32" s="17" t="n"/>
      <c r="C32" s="17" t="n"/>
      <c r="D32" s="16" t="n"/>
      <c r="E32" s="17" t="n"/>
      <c r="F32" s="16" t="n"/>
    </row>
    <row r="33" ht="15" customHeight="1" s="10">
      <c r="A33" s="16">
        <f>IF(C33="","",ROW()-1)</f>
        <v/>
      </c>
      <c r="B33" s="17" t="n"/>
      <c r="C33" s="17" t="n"/>
      <c r="D33" s="16" t="n"/>
      <c r="E33" s="17" t="n"/>
      <c r="F33" s="16" t="n"/>
    </row>
    <row r="34" ht="15" customHeight="1" s="10">
      <c r="A34" s="16">
        <f>IF(C34="","",ROW()-1)</f>
        <v/>
      </c>
      <c r="B34" s="17" t="n"/>
      <c r="C34" s="17" t="n"/>
      <c r="D34" s="16" t="n"/>
      <c r="E34" s="17" t="n"/>
      <c r="F34" s="16" t="n"/>
    </row>
    <row r="35" ht="15" customHeight="1" s="10">
      <c r="A35" s="16">
        <f>IF(C35="","",ROW()-1)</f>
        <v/>
      </c>
      <c r="B35" s="17" t="n"/>
      <c r="C35" s="17" t="n"/>
      <c r="D35" s="16" t="n"/>
      <c r="E35" s="17" t="n"/>
      <c r="F35" s="16" t="n"/>
    </row>
    <row r="36" ht="15" customHeight="1" s="10">
      <c r="A36" s="16">
        <f>IF(C36="","",ROW()-1)</f>
        <v/>
      </c>
      <c r="B36" s="17" t="n"/>
      <c r="C36" s="17" t="n"/>
      <c r="D36" s="16" t="n"/>
      <c r="E36" s="17" t="n"/>
      <c r="F36" s="16" t="n"/>
    </row>
    <row r="37" ht="15" customHeight="1" s="10">
      <c r="A37" s="16">
        <f>IF(C37="","",ROW()-1)</f>
        <v/>
      </c>
      <c r="B37" s="17" t="n"/>
      <c r="C37" s="17" t="n"/>
      <c r="D37" s="16" t="n"/>
      <c r="E37" s="17" t="n"/>
      <c r="F37" s="16" t="n"/>
    </row>
    <row r="38" ht="15" customHeight="1" s="10">
      <c r="A38" s="16">
        <f>IF(C38="","",ROW()-1)</f>
        <v/>
      </c>
      <c r="B38" s="17" t="n"/>
      <c r="C38" s="17" t="n"/>
      <c r="D38" s="16" t="n"/>
      <c r="E38" s="17" t="n"/>
      <c r="F38" s="16" t="n"/>
    </row>
    <row r="39" ht="15" customHeight="1" s="10">
      <c r="A39" s="16">
        <f>IF(C39="","",ROW()-1)</f>
        <v/>
      </c>
      <c r="B39" s="17" t="n"/>
      <c r="C39" s="17" t="n"/>
      <c r="D39" s="16" t="n"/>
      <c r="E39" s="17" t="n"/>
      <c r="F39" s="16" t="n"/>
    </row>
    <row r="40" ht="15" customHeight="1" s="10">
      <c r="A40" s="16">
        <f>IF(C40="","",ROW()-1)</f>
        <v/>
      </c>
      <c r="B40" s="17" t="n"/>
      <c r="C40" s="17" t="n"/>
      <c r="D40" s="16" t="n"/>
      <c r="E40" s="17" t="n"/>
      <c r="F40" s="16" t="n"/>
    </row>
    <row r="41" ht="15" customHeight="1" s="10">
      <c r="A41" s="16">
        <f>IF(C41="","",ROW()-1)</f>
        <v/>
      </c>
      <c r="B41" s="17" t="n"/>
      <c r="C41" s="17" t="n"/>
      <c r="D41" s="16" t="n"/>
      <c r="E41" s="17" t="n"/>
      <c r="F41" s="16" t="n"/>
    </row>
    <row r="42" ht="15" customHeight="1" s="10">
      <c r="A42" s="16">
        <f>IF(C42="","",ROW()-1)</f>
        <v/>
      </c>
      <c r="B42" s="17" t="n"/>
      <c r="C42" s="17" t="n"/>
      <c r="D42" s="16" t="n"/>
      <c r="E42" s="17" t="n"/>
      <c r="F42" s="16" t="n"/>
    </row>
    <row r="43" ht="15" customHeight="1" s="10">
      <c r="A43" s="16">
        <f>IF(C43="","",ROW()-1)</f>
        <v/>
      </c>
      <c r="B43" s="17" t="n"/>
      <c r="C43" s="17" t="n"/>
      <c r="D43" s="16" t="n"/>
      <c r="E43" s="17" t="n"/>
      <c r="F43" s="16" t="n"/>
    </row>
    <row r="44" ht="15" customHeight="1" s="10">
      <c r="A44" s="16">
        <f>IF(C44="","",ROW()-1)</f>
        <v/>
      </c>
      <c r="B44" s="17" t="n"/>
      <c r="C44" s="17" t="n"/>
      <c r="D44" s="16" t="n"/>
      <c r="E44" s="17" t="n"/>
      <c r="F44" s="16" t="n"/>
    </row>
    <row r="45" ht="15" customHeight="1" s="10">
      <c r="A45" s="16">
        <f>IF(C45="","",ROW()-1)</f>
        <v/>
      </c>
      <c r="B45" s="17" t="n"/>
      <c r="C45" s="17" t="n"/>
      <c r="D45" s="16" t="n"/>
      <c r="E45" s="17" t="n"/>
      <c r="F45" s="16" t="n"/>
    </row>
    <row r="46" ht="15" customHeight="1" s="10">
      <c r="A46" s="16">
        <f>IF(C46="","",ROW()-1)</f>
        <v/>
      </c>
      <c r="B46" s="17" t="n"/>
      <c r="C46" s="17" t="n"/>
      <c r="D46" s="16" t="n"/>
      <c r="E46" s="17" t="n"/>
      <c r="F46" s="16" t="n"/>
    </row>
    <row r="47" ht="15" customHeight="1" s="10">
      <c r="A47" s="16">
        <f>IF(C47="","",ROW()-1)</f>
        <v/>
      </c>
      <c r="B47" s="17" t="n"/>
      <c r="C47" s="17" t="n"/>
      <c r="D47" s="16" t="n"/>
      <c r="E47" s="17" t="n"/>
      <c r="F47" s="16" t="n"/>
    </row>
    <row r="48" ht="15" customHeight="1" s="10">
      <c r="A48" s="16">
        <f>IF(C48="","",ROW()-1)</f>
        <v/>
      </c>
      <c r="B48" s="17" t="n"/>
      <c r="C48" s="17" t="n"/>
      <c r="D48" s="16" t="n"/>
      <c r="E48" s="17" t="n"/>
      <c r="F48" s="16" t="n"/>
    </row>
    <row r="49" ht="15" customHeight="1" s="10">
      <c r="A49" s="16">
        <f>IF(C49="","",ROW()-1)</f>
        <v/>
      </c>
      <c r="B49" s="17" t="n"/>
      <c r="C49" s="17" t="n"/>
      <c r="D49" s="16" t="n"/>
      <c r="E49" s="17" t="n"/>
      <c r="F49" s="16" t="n"/>
    </row>
    <row r="50" ht="15" customHeight="1" s="10">
      <c r="A50" s="16">
        <f>IF(C50="","",ROW()-1)</f>
        <v/>
      </c>
      <c r="B50" s="17" t="n"/>
      <c r="C50" s="17" t="n"/>
      <c r="D50" s="16" t="n"/>
      <c r="E50" s="17" t="n"/>
      <c r="F50" s="16" t="n"/>
    </row>
    <row r="51" ht="15" customHeight="1" s="10">
      <c r="A51" s="16">
        <f>IF(C51="","",ROW()-1)</f>
        <v/>
      </c>
      <c r="B51" s="17" t="n"/>
      <c r="C51" s="17" t="n"/>
      <c r="D51" s="16" t="n"/>
      <c r="E51" s="17" t="n"/>
      <c r="F51" s="16" t="n"/>
    </row>
    <row r="52" ht="15" customHeight="1" s="10">
      <c r="A52" s="16">
        <f>IF(C52="","",ROW()-1)</f>
        <v/>
      </c>
      <c r="B52" s="17" t="n"/>
      <c r="C52" s="17" t="n"/>
      <c r="D52" s="16" t="n"/>
      <c r="E52" s="17" t="n"/>
      <c r="F52" s="16" t="n"/>
    </row>
    <row r="53" ht="15" customHeight="1" s="10">
      <c r="A53" s="16">
        <f>IF(C53="","",ROW()-1)</f>
        <v/>
      </c>
      <c r="B53" s="17" t="n"/>
      <c r="C53" s="17" t="n"/>
      <c r="D53" s="16" t="n"/>
      <c r="E53" s="17" t="n"/>
      <c r="F53" s="16" t="n"/>
    </row>
    <row r="54" ht="15" customHeight="1" s="10">
      <c r="A54" s="16">
        <f>IF(C54="","",ROW()-1)</f>
        <v/>
      </c>
      <c r="B54" s="17" t="n"/>
      <c r="C54" s="17" t="n"/>
      <c r="D54" s="16" t="n"/>
      <c r="E54" s="17" t="n"/>
      <c r="F54" s="16" t="n"/>
    </row>
    <row r="55" ht="15" customHeight="1" s="10">
      <c r="A55" s="16">
        <f>IF(C55="","",ROW()-1)</f>
        <v/>
      </c>
      <c r="B55" s="17" t="n"/>
      <c r="C55" s="17" t="n"/>
      <c r="D55" s="16" t="n"/>
      <c r="E55" s="17" t="n"/>
      <c r="F55" s="16" t="n"/>
    </row>
    <row r="56" ht="15" customHeight="1" s="10">
      <c r="A56" s="16">
        <f>IF(C56="","",ROW()-1)</f>
        <v/>
      </c>
      <c r="B56" s="17" t="n"/>
      <c r="C56" s="17" t="n"/>
      <c r="D56" s="16" t="n"/>
      <c r="E56" s="17" t="n"/>
      <c r="F56" s="16" t="n"/>
    </row>
    <row r="57" ht="15" customHeight="1" s="10">
      <c r="A57" s="16">
        <f>IF(C57="","",ROW()-1)</f>
        <v/>
      </c>
      <c r="B57" s="17" t="n"/>
      <c r="C57" s="17" t="n"/>
      <c r="D57" s="16" t="n"/>
      <c r="E57" s="17" t="n"/>
      <c r="F57" s="16" t="n"/>
    </row>
    <row r="58" ht="15" customHeight="1" s="10">
      <c r="A58" s="16">
        <f>IF(C58="","",ROW()-1)</f>
        <v/>
      </c>
      <c r="B58" s="17" t="n"/>
      <c r="C58" s="17" t="n"/>
      <c r="D58" s="16" t="n"/>
      <c r="E58" s="17" t="n"/>
      <c r="F58" s="16" t="n"/>
    </row>
    <row r="59" ht="15" customHeight="1" s="10">
      <c r="A59" s="16">
        <f>IF(C59="","",ROW()-1)</f>
        <v/>
      </c>
      <c r="B59" s="17" t="n"/>
      <c r="C59" s="17" t="n"/>
      <c r="D59" s="16" t="n"/>
      <c r="E59" s="17" t="n"/>
      <c r="F59" s="16" t="n"/>
    </row>
    <row r="60" ht="15" customHeight="1" s="10">
      <c r="A60" s="16">
        <f>IF(C60="","",ROW()-1)</f>
        <v/>
      </c>
      <c r="B60" s="17" t="n"/>
      <c r="C60" s="17" t="n"/>
      <c r="D60" s="16" t="n"/>
      <c r="E60" s="17" t="n"/>
      <c r="F60" s="16" t="n"/>
    </row>
    <row r="61" ht="15" customHeight="1" s="10">
      <c r="A61" s="16">
        <f>IF(C61="","",ROW()-1)</f>
        <v/>
      </c>
      <c r="B61" s="17" t="n"/>
      <c r="C61" s="17" t="n"/>
      <c r="D61" s="16" t="n"/>
      <c r="E61" s="17" t="n"/>
      <c r="F61" s="16" t="n"/>
    </row>
  </sheetData>
  <autoFilter ref="A1:F61"/>
  <conditionalFormatting sqref="F2:F61">
    <cfRule type="expression" rank="0" priority="2" equalAverage="0" aboveAverage="0" dxfId="8" text="" percent="0" bottom="0">
      <formula>$F2="Resuelto"</formula>
    </cfRule>
    <cfRule type="expression" rank="0" priority="3" equalAverage="0" aboveAverage="0" dxfId="9" text="" percent="0" bottom="0">
      <formula>$F2="Pendiente"</formula>
    </cfRule>
    <cfRule type="expression" rank="0" priority="4" equalAverage="0" aboveAverage="0" dxfId="10" text="" percent="0" bottom="0">
      <formula>$F2="En curso"</formula>
    </cfRule>
  </conditionalFormatting>
  <dataValidations count="1">
    <dataValidation sqref="F2:F61" showDropDown="0" showInputMessage="0" showErrorMessage="0" allowBlank="1" type="list" errorStyle="stop" operator="between">
      <formula1>"Pendiente,En curso,Resuelto"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2026-10-25T13:30:04Z</dcterms:created>
  <dcterms:modified xmlns:dcterms="http://purl.org/dc/terms/" xmlns:xsi="http://www.w3.org/2001/XMLSchema-instance" xsi:type="dcterms:W3CDTF">2026-10-26T19:48:34Z</dcterms:modified>
  <cp:revision>0</cp:revision>
</cp:coreProperties>
</file>